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文章清单" sheetId="1" r:id="rId1"/>
    <sheet name="公众号清单" sheetId="2" r:id="rId2"/>
    <sheet name="类别清单" sheetId="3" r:id="rId3"/>
  </sheets>
  <definedNames>
    <definedName name="_xlnm._FilterDatabase" localSheetId="0" hidden="1">文章清单!$A$2:$G$3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bruce</author>
  </authors>
  <commentList/>
</comments>
</file>

<file path=xl/sharedStrings.xml><?xml version="1.0" encoding="utf-8"?>
<sst xmlns="http://schemas.openxmlformats.org/spreadsheetml/2006/main" count="328" uniqueCount="179">
  <si>
    <t>发布时间区间：${pnList1.start}~${pnList1.end}</t>
  </si>
  <si>
    <t>序号</t>
  </si>
  <si>
    <t>文章分类</t>
  </si>
  <si>
    <t>公众号名称</t>
  </si>
  <si>
    <t>文章标题</t>
  </si>
  <si>
    <t>文章超链接地址</t>
  </si>
  <si>
    <t>文章发布时间</t>
  </si>
  <si>
    <t>文章文字全文内容</t>
  </si>
  <si>
    <t>${news.serialNo}</t>
  </si>
  <si>
    <t>${news.dbCate}</t>
  </si>
  <si>
    <t>${news.author}</t>
  </si>
  <si>
    <t>${news.title}</t>
  </si>
  <si>
    <t>${my:myLink(news.url,news.url)}</t>
  </si>
  <si>
    <t>${news.pubdate}</t>
  </si>
  <si>
    <t>${news.summary}</t>
  </si>
  <si>
    <t>公众号性质</t>
  </si>
  <si>
    <t>添加日期</t>
  </si>
  <si>
    <t>（本周）文章数量</t>
  </si>
  <si>
    <t>FUJITEC富士达电梯</t>
  </si>
  <si>
    <t>电梯企业</t>
  </si>
  <si>
    <t>SJEC江南嘉捷电梯</t>
  </si>
  <si>
    <t>爱佳梯电梯物联网平台</t>
  </si>
  <si>
    <t>公司</t>
  </si>
  <si>
    <t>奥的斯电梯</t>
  </si>
  <si>
    <t>迪斯卡电梯</t>
  </si>
  <si>
    <t>蒂升电梯</t>
  </si>
  <si>
    <t>点梯智云</t>
  </si>
  <si>
    <t>电梯</t>
  </si>
  <si>
    <t>个人</t>
  </si>
  <si>
    <t>电梯安全论坛</t>
  </si>
  <si>
    <t>电梯帮</t>
  </si>
  <si>
    <t>电梯标准与检验</t>
  </si>
  <si>
    <t>电梯部</t>
  </si>
  <si>
    <t>电梯达人秀</t>
  </si>
  <si>
    <t>电梯大叔</t>
  </si>
  <si>
    <t>企业</t>
  </si>
  <si>
    <t>电梯大侠</t>
  </si>
  <si>
    <t>电梯哥</t>
  </si>
  <si>
    <t>电梯公民</t>
  </si>
  <si>
    <t>电梯交流圈</t>
  </si>
  <si>
    <t>电梯界的蜗牛</t>
  </si>
  <si>
    <t>电梯精英</t>
  </si>
  <si>
    <t>电梯科技</t>
  </si>
  <si>
    <t>电梯老司机</t>
  </si>
  <si>
    <t>电梯论坛</t>
  </si>
  <si>
    <t>电梯那些事</t>
  </si>
  <si>
    <t>电梯配件</t>
  </si>
  <si>
    <t>电梯圈</t>
  </si>
  <si>
    <t>电梯扫灰工</t>
  </si>
  <si>
    <t>电梯师傅</t>
  </si>
  <si>
    <t>电梯维保</t>
  </si>
  <si>
    <t>电梯维小保</t>
  </si>
  <si>
    <t>电梯维修交流</t>
  </si>
  <si>
    <t>电梯尾巴大课堂</t>
  </si>
  <si>
    <t>电梯魏sir</t>
  </si>
  <si>
    <t>电梯行业</t>
  </si>
  <si>
    <t>电梯修理笔记</t>
  </si>
  <si>
    <t>电梯之声</t>
  </si>
  <si>
    <t>电梯资料百科</t>
  </si>
  <si>
    <t>电梯资料大全</t>
  </si>
  <si>
    <t>东南电梯NDDT</t>
  </si>
  <si>
    <t>东芝电梯</t>
  </si>
  <si>
    <t>富士精工电梯</t>
  </si>
  <si>
    <t>广东富士电梯</t>
  </si>
  <si>
    <t>杭州西奥电梯</t>
  </si>
  <si>
    <t>杭州西奥电梯有限公司</t>
  </si>
  <si>
    <t>恒大富士电梯</t>
  </si>
  <si>
    <t>加梯集团</t>
  </si>
  <si>
    <t>巨立电梯股份有限公司</t>
  </si>
  <si>
    <t>巨龙电梯有限公司</t>
  </si>
  <si>
    <t>康力电梯股份有限公司</t>
  </si>
  <si>
    <t>雷登电梯GOTS</t>
  </si>
  <si>
    <t>联合富士电梯</t>
  </si>
  <si>
    <t>林肯电梯</t>
  </si>
  <si>
    <t>菱王电梯官方订阅号</t>
  </si>
  <si>
    <t>美迪斯电梯</t>
  </si>
  <si>
    <t>闽梯圈</t>
  </si>
  <si>
    <t>媒体</t>
  </si>
  <si>
    <t>嗯呐电梯工匠</t>
  </si>
  <si>
    <t>日立电梯</t>
  </si>
  <si>
    <t>塞尔电梯</t>
  </si>
  <si>
    <t>塞纳自动梯</t>
  </si>
  <si>
    <t>森赫电梯</t>
  </si>
  <si>
    <t>上海电梯</t>
  </si>
  <si>
    <t>杂志</t>
  </si>
  <si>
    <t>上海联合电梯安全技术促进中心</t>
  </si>
  <si>
    <t>上海三菱电梯有限公司</t>
  </si>
  <si>
    <t>上海三荣电梯</t>
  </si>
  <si>
    <t>上海智慧电梯</t>
  </si>
  <si>
    <t>速捷电梯有限公司</t>
  </si>
  <si>
    <t>梯哥哥</t>
  </si>
  <si>
    <t>梯互联</t>
  </si>
  <si>
    <t>梯况</t>
  </si>
  <si>
    <t>梯企云</t>
  </si>
  <si>
    <t>梯视达</t>
  </si>
  <si>
    <t>梯小度</t>
  </si>
  <si>
    <t>通力电梯</t>
  </si>
  <si>
    <t>西继迅达电梯有限公司</t>
  </si>
  <si>
    <t>西子电梯科技有限公司</t>
  </si>
  <si>
    <t>新电梯网</t>
  </si>
  <si>
    <t>迅达电梯</t>
  </si>
  <si>
    <t>怡达快速电梯</t>
  </si>
  <si>
    <t>亿梯网</t>
  </si>
  <si>
    <t>易梯</t>
  </si>
  <si>
    <t>易梯配</t>
  </si>
  <si>
    <t>易修梯</t>
  </si>
  <si>
    <t>永大电梯中国</t>
  </si>
  <si>
    <t>云智梯</t>
  </si>
  <si>
    <t>浙江梅轮电梯</t>
  </si>
  <si>
    <t>智能电梯控制</t>
  </si>
  <si>
    <t>中国电梯</t>
  </si>
  <si>
    <t>中国电梯大讲堂</t>
  </si>
  <si>
    <t>住友富士电梯有限公司</t>
  </si>
  <si>
    <t>走进电梯</t>
  </si>
  <si>
    <t>贵州电梯人强哥</t>
  </si>
  <si>
    <t>电梯范</t>
  </si>
  <si>
    <t>ELEVATOR第壹电梯</t>
  </si>
  <si>
    <t>电梯技术与生活</t>
  </si>
  <si>
    <t>电梯e百科</t>
  </si>
  <si>
    <t>电梯中介</t>
  </si>
  <si>
    <t>枫一电梯</t>
  </si>
  <si>
    <t>Home Lift家用电梯</t>
  </si>
  <si>
    <t>电梯那点事</t>
  </si>
  <si>
    <t>电梯标准法规</t>
  </si>
  <si>
    <t>电梯show</t>
  </si>
  <si>
    <t>电梯检验检测</t>
  </si>
  <si>
    <t>旧楼加装电梯专家</t>
  </si>
  <si>
    <t>电梯智慧电梯</t>
  </si>
  <si>
    <t>瑞赛宝电梯</t>
  </si>
  <si>
    <t>电梯维修小保</t>
  </si>
  <si>
    <t>中国特种设备安全</t>
  </si>
  <si>
    <t>电梯招聘网</t>
  </si>
  <si>
    <t>沃克斯迅达电梯</t>
  </si>
  <si>
    <t>电梯达人</t>
  </si>
  <si>
    <t>美的楼宇科技</t>
  </si>
  <si>
    <t>易梯服务号</t>
  </si>
  <si>
    <t>电梯电梯</t>
  </si>
  <si>
    <t>中国电梯协会</t>
  </si>
  <si>
    <t>戈尔电梯</t>
  </si>
  <si>
    <t>IFE快意电梯</t>
  </si>
  <si>
    <t>上海市联合电梯安全技术促进中心</t>
  </si>
  <si>
    <t>协会</t>
  </si>
  <si>
    <t>电梯小二</t>
  </si>
  <si>
    <t>电梯技术与知识</t>
  </si>
  <si>
    <t>电梯维修</t>
  </si>
  <si>
    <t>电梯维修海纳百川</t>
  </si>
  <si>
    <t>电梯技术配件交流</t>
  </si>
  <si>
    <t>亚太西奥电梯</t>
  </si>
  <si>
    <t>制造企业</t>
  </si>
  <si>
    <t>西奥MOD</t>
  </si>
  <si>
    <t>科莱曼电梯</t>
  </si>
  <si>
    <t>斯迈普加装电梯</t>
  </si>
  <si>
    <t>赛尔电梯</t>
  </si>
  <si>
    <t>电梯安全</t>
  </si>
  <si>
    <t>奇捷电梯智慧平台</t>
  </si>
  <si>
    <t>美嘉智选家用电梯</t>
  </si>
  <si>
    <t>上百加电梯</t>
  </si>
  <si>
    <t>伊士顿电梯集团</t>
  </si>
  <si>
    <t>艺墅家别墅电梯</t>
  </si>
  <si>
    <t>电梯之窗</t>
  </si>
  <si>
    <t>尼得科电梯电机</t>
  </si>
  <si>
    <t>上海加装电梯</t>
  </si>
  <si>
    <t>屹宏电梯</t>
  </si>
  <si>
    <t>上海蒂奥电梯</t>
  </si>
  <si>
    <t>智慧电梯圈</t>
  </si>
  <si>
    <t>类别名称</t>
  </si>
  <si>
    <t>安装</t>
  </si>
  <si>
    <t>维保</t>
  </si>
  <si>
    <t>法规</t>
  </si>
  <si>
    <t>政府行政令</t>
  </si>
  <si>
    <t>惩罚</t>
  </si>
  <si>
    <t>事故</t>
  </si>
  <si>
    <t>曳引机</t>
  </si>
  <si>
    <t>制动器</t>
  </si>
  <si>
    <t>广告</t>
  </si>
  <si>
    <t>祝福</t>
  </si>
  <si>
    <t>其他</t>
  </si>
  <si>
    <t/>
  </si>
  <si>
    <t>发布时间区间：2025-03-10 00:00:00~2026-02-09 23:59:59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</si>
</sst>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0.5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0"/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 vertical="center"/>
    </xf>
    <xf numFmtId="14" fontId="0" fillId="0" borderId="0" xfId="49" applyNumberForma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4" fontId="0" fillId="0" borderId="1" xfId="49" applyNumberForma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0" fillId="0" borderId="0" xfId="49" applyAlignment="1">
      <alignment vertical="center"/>
    </xf>
    <xf numFmtId="0" fontId="0" fillId="0" borderId="1" xfId="49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vertical="center"/>
    </xf>
    <xf numFmtId="14" fontId="0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6" applyNumberFormat="1" applyFont="1" applyAlignment="1">
      <alignment vertical="center"/>
    </xf>
    <xf numFmtId="0" fontId="6" fillId="0" borderId="0" xfId="6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3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E18" sqref="E18"/>
    </sheetView>
  </sheetViews>
  <sheetFormatPr defaultColWidth="8.88333333333333" defaultRowHeight="14.25" outlineLevelRow="2" outlineLevelCol="6"/>
  <cols>
    <col min="1" max="1" customWidth="true" style="15" width="7.7734375" collapsed="false"/>
    <col min="2" max="2" customWidth="true" style="15" width="22.5" collapsed="false"/>
    <col min="3" max="3" customWidth="true" style="15" width="25.75" collapsed="false"/>
    <col min="4" max="4" customWidth="true" style="15" width="54.875" collapsed="false"/>
    <col min="5" max="5" customWidth="true" style="15" width="93.875" collapsed="false"/>
    <col min="6" max="6" customWidth="true" style="15" width="19.75" collapsed="false"/>
    <col min="7" max="7" customWidth="true" style="15" width="76.25" collapsed="false"/>
    <col min="8" max="16384" style="15" width="8.88333333333333" collapsed="false"/>
  </cols>
  <sheetData>
    <row r="1" s="14" customFormat="1" ht="22.95" customHeight="true" spans="1:7">
      <c r="A1" s="16" t="s">
        <v>178</v>
      </c>
      <c r="B1" s="16"/>
      <c r="C1" s="16"/>
      <c r="D1" s="16"/>
      <c r="E1" s="16"/>
      <c r="F1" s="16"/>
      <c r="G1" s="16"/>
    </row>
    <row r="2" s="14" customFormat="1" ht="25.95" customHeight="true" spans="1:7">
      <c r="A2" s="17" t="s">
        <v>1</v>
      </c>
      <c r="B2" s="18" t="s">
        <v>2</v>
      </c>
      <c r="C2" s="17" t="s">
        <v>3</v>
      </c>
      <c r="D2" s="18" t="s">
        <v>4</v>
      </c>
      <c r="E2" s="17" t="s">
        <v>5</v>
      </c>
      <c r="F2" s="17" t="s">
        <v>6</v>
      </c>
      <c r="G2" s="17" t="s">
        <v>7</v>
      </c>
    </row>
    <row r="3" spans="1:7">
      <c r="A3" s="0"/>
      <c r="B3" s="0"/>
      <c r="C3" s="0"/>
      <c r="D3" s="0"/>
      <c r="E3" s="0"/>
      <c r="F3" s="0"/>
      <c r="G3" s="0"/>
    </row>
  </sheetData>
  <autoFilter ref="A2:G3" etc:filterBottomFollowUsedRange="0">
    <extLst/>
  </autoFilter>
  <mergeCells>
    <mergeCell ref="A1:G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0"/>
  <sheetViews>
    <sheetView workbookViewId="0">
      <selection activeCell="E10" sqref="E10"/>
    </sheetView>
  </sheetViews>
  <sheetFormatPr defaultColWidth="9" defaultRowHeight="14.25" outlineLevelCol="4"/>
  <cols>
    <col min="1" max="1" customWidth="true" style="2" width="10.0" collapsed="false"/>
    <col min="2" max="2" customWidth="true" style="9" width="33.6666666666667" collapsed="false"/>
    <col min="3" max="3" customWidth="true" style="2" width="16.1083333333333" collapsed="false"/>
    <col min="4" max="4" customWidth="true" style="3" width="14.0" collapsed="false"/>
    <col min="5" max="5" customWidth="true" style="1" width="22.775" collapsed="false"/>
    <col min="6" max="16384" style="9" width="9.0" collapsed="false"/>
  </cols>
  <sheetData>
    <row r="1" s="1" customFormat="1" spans="1:5">
      <c r="A1" s="4" t="s">
        <v>1</v>
      </c>
      <c r="B1" s="4" t="s">
        <v>3</v>
      </c>
      <c r="C1" s="4" t="s">
        <v>15</v>
      </c>
      <c r="D1" s="4" t="s">
        <v>16</v>
      </c>
      <c r="E1" s="4" t="s">
        <v>17</v>
      </c>
    </row>
    <row r="2" s="9" customFormat="1" spans="1:5">
      <c r="A2" s="10">
        <v>1</v>
      </c>
      <c r="B2" s="11" t="s">
        <v>18</v>
      </c>
      <c r="C2" s="10" t="s">
        <v>19</v>
      </c>
      <c r="D2" s="12">
        <v>45646</v>
      </c>
      <c r="E2" s="13">
        <f>COUNTIF(文章清单!C:C,B2)</f>
        <v>0</v>
      </c>
    </row>
    <row r="3" s="9" customFormat="1" spans="1:5">
      <c r="A3" s="10">
        <v>2</v>
      </c>
      <c r="B3" s="11" t="s">
        <v>20</v>
      </c>
      <c r="C3" s="10" t="s">
        <v>19</v>
      </c>
      <c r="D3" s="12">
        <v>45646</v>
      </c>
      <c r="E3" s="13">
        <f>COUNTIF(文章清单!C:C,B3)</f>
        <v>0</v>
      </c>
    </row>
    <row r="4" s="9" customFormat="1" spans="1:5">
      <c r="A4" s="10">
        <v>3</v>
      </c>
      <c r="B4" s="11" t="s">
        <v>21</v>
      </c>
      <c r="C4" s="10" t="s">
        <v>22</v>
      </c>
      <c r="D4" s="12">
        <v>45646</v>
      </c>
      <c r="E4" s="13">
        <f>COUNTIF(文章清单!C:C,B4)</f>
        <v>0</v>
      </c>
    </row>
    <row r="5" s="9" customFormat="1" spans="1:5">
      <c r="A5" s="10">
        <v>4</v>
      </c>
      <c r="B5" s="11" t="s">
        <v>23</v>
      </c>
      <c r="C5" s="10" t="s">
        <v>19</v>
      </c>
      <c r="D5" s="12">
        <v>45646</v>
      </c>
      <c r="E5" s="13">
        <f>COUNTIF(文章清单!C:C,B5)</f>
        <v>0</v>
      </c>
    </row>
    <row r="6" s="9" customFormat="1" spans="1:5">
      <c r="A6" s="10">
        <v>5</v>
      </c>
      <c r="B6" s="11" t="s">
        <v>24</v>
      </c>
      <c r="C6" s="10" t="s">
        <v>19</v>
      </c>
      <c r="D6" s="12">
        <v>45646</v>
      </c>
      <c r="E6" s="13">
        <f>COUNTIF(文章清单!C:C,B6)</f>
        <v>0</v>
      </c>
    </row>
    <row r="7" s="9" customFormat="1" spans="1:5">
      <c r="A7" s="10">
        <v>6</v>
      </c>
      <c r="B7" s="11" t="s">
        <v>25</v>
      </c>
      <c r="C7" s="10" t="s">
        <v>19</v>
      </c>
      <c r="D7" s="12">
        <v>45646</v>
      </c>
      <c r="E7" s="13">
        <f>COUNTIF(文章清单!C:C,B7)</f>
        <v>0</v>
      </c>
    </row>
    <row r="8" s="9" customFormat="1" spans="1:5">
      <c r="A8" s="10">
        <v>7</v>
      </c>
      <c r="B8" s="11" t="s">
        <v>26</v>
      </c>
      <c r="C8" s="10" t="s">
        <v>22</v>
      </c>
      <c r="D8" s="12">
        <v>45646</v>
      </c>
      <c r="E8" s="13">
        <f>COUNTIF(文章清单!C:C,B8)</f>
        <v>0</v>
      </c>
    </row>
    <row r="9" s="9" customFormat="1" spans="1:5">
      <c r="A9" s="10">
        <v>8</v>
      </c>
      <c r="B9" s="11" t="s">
        <v>27</v>
      </c>
      <c r="C9" s="10" t="s">
        <v>28</v>
      </c>
      <c r="D9" s="12">
        <v>45646</v>
      </c>
      <c r="E9" s="13">
        <f>COUNTIF(文章清单!C:C,B9)</f>
        <v>0</v>
      </c>
    </row>
    <row r="10" s="9" customFormat="1" spans="1:5">
      <c r="A10" s="10">
        <v>9</v>
      </c>
      <c r="B10" s="11" t="s">
        <v>29</v>
      </c>
      <c r="C10" s="10" t="s">
        <v>28</v>
      </c>
      <c r="D10" s="12">
        <v>45646</v>
      </c>
      <c r="E10" s="13">
        <f>COUNTIF(文章清单!C:C,B10)</f>
        <v>0</v>
      </c>
    </row>
    <row r="11" s="9" customFormat="1" spans="1:5">
      <c r="A11" s="10">
        <v>10</v>
      </c>
      <c r="B11" s="11" t="s">
        <v>30</v>
      </c>
      <c r="C11" s="10" t="s">
        <v>28</v>
      </c>
      <c r="D11" s="12">
        <v>45646</v>
      </c>
      <c r="E11" s="13">
        <f>COUNTIF(文章清单!C:C,B11)</f>
        <v>0</v>
      </c>
    </row>
    <row r="12" s="9" customFormat="1" spans="1:5">
      <c r="A12" s="10">
        <v>11</v>
      </c>
      <c r="B12" s="11" t="s">
        <v>31</v>
      </c>
      <c r="C12" s="10" t="s">
        <v>28</v>
      </c>
      <c r="D12" s="12">
        <v>45646</v>
      </c>
      <c r="E12" s="13">
        <f>COUNTIF(文章清单!C:C,B12)</f>
        <v>0</v>
      </c>
    </row>
    <row r="13" s="9" customFormat="1" spans="1:5">
      <c r="A13" s="10">
        <v>12</v>
      </c>
      <c r="B13" s="11" t="s">
        <v>32</v>
      </c>
      <c r="C13" s="10" t="s">
        <v>28</v>
      </c>
      <c r="D13" s="12">
        <v>45646</v>
      </c>
      <c r="E13" s="13">
        <f>COUNTIF(文章清单!C:C,B13)</f>
        <v>0</v>
      </c>
    </row>
    <row r="14" s="9" customFormat="1" spans="1:5">
      <c r="A14" s="10">
        <v>13</v>
      </c>
      <c r="B14" s="11" t="s">
        <v>33</v>
      </c>
      <c r="C14" s="10" t="s">
        <v>28</v>
      </c>
      <c r="D14" s="12">
        <v>45646</v>
      </c>
      <c r="E14" s="13">
        <f>COUNTIF(文章清单!C:C,B14)</f>
        <v>0</v>
      </c>
    </row>
    <row r="15" s="9" customFormat="1" spans="1:5">
      <c r="A15" s="10">
        <v>14</v>
      </c>
      <c r="B15" s="11" t="s">
        <v>34</v>
      </c>
      <c r="C15" s="10" t="s">
        <v>35</v>
      </c>
      <c r="D15" s="12">
        <v>45646</v>
      </c>
      <c r="E15" s="13">
        <f>COUNTIF(文章清单!C:C,B15)</f>
        <v>0</v>
      </c>
    </row>
    <row r="16" s="9" customFormat="1" spans="1:5">
      <c r="A16" s="10">
        <v>15</v>
      </c>
      <c r="B16" s="11" t="s">
        <v>36</v>
      </c>
      <c r="C16" s="10" t="s">
        <v>28</v>
      </c>
      <c r="D16" s="12">
        <v>45646</v>
      </c>
      <c r="E16" s="13">
        <f>COUNTIF(文章清单!C:C,B16)</f>
        <v>0</v>
      </c>
    </row>
    <row r="17" s="9" customFormat="1" spans="1:5">
      <c r="A17" s="10">
        <v>16</v>
      </c>
      <c r="B17" s="11" t="s">
        <v>37</v>
      </c>
      <c r="C17" s="10" t="s">
        <v>28</v>
      </c>
      <c r="D17" s="12">
        <v>45646</v>
      </c>
      <c r="E17" s="13">
        <f>COUNTIF(文章清单!C:C,B17)</f>
        <v>0</v>
      </c>
    </row>
    <row r="18" s="9" customFormat="1" spans="1:5">
      <c r="A18" s="10">
        <v>17</v>
      </c>
      <c r="B18" s="11" t="s">
        <v>38</v>
      </c>
      <c r="C18" s="10" t="s">
        <v>28</v>
      </c>
      <c r="D18" s="12">
        <v>45646</v>
      </c>
      <c r="E18" s="13">
        <f>COUNTIF(文章清单!C:C,B18)</f>
        <v>0</v>
      </c>
    </row>
    <row r="19" s="9" customFormat="1" spans="1:5">
      <c r="A19" s="10">
        <v>18</v>
      </c>
      <c r="B19" s="11" t="s">
        <v>39</v>
      </c>
      <c r="C19" s="10" t="s">
        <v>28</v>
      </c>
      <c r="D19" s="12">
        <v>45646</v>
      </c>
      <c r="E19" s="13">
        <f>COUNTIF(文章清单!C:C,B19)</f>
        <v>0</v>
      </c>
    </row>
    <row r="20" s="9" customFormat="1" spans="1:5">
      <c r="A20" s="10">
        <v>19</v>
      </c>
      <c r="B20" s="11" t="s">
        <v>40</v>
      </c>
      <c r="C20" s="10" t="s">
        <v>28</v>
      </c>
      <c r="D20" s="12">
        <v>45646</v>
      </c>
      <c r="E20" s="13">
        <f>COUNTIF(文章清单!C:C,B20)</f>
        <v>0</v>
      </c>
    </row>
    <row r="21" s="9" customFormat="1" spans="1:5">
      <c r="A21" s="10">
        <v>20</v>
      </c>
      <c r="B21" s="11" t="s">
        <v>41</v>
      </c>
      <c r="C21" s="10" t="s">
        <v>28</v>
      </c>
      <c r="D21" s="12">
        <v>45646</v>
      </c>
      <c r="E21" s="13">
        <f>COUNTIF(文章清单!C:C,B21)</f>
        <v>0</v>
      </c>
    </row>
    <row r="22" s="9" customFormat="1" spans="1:5">
      <c r="A22" s="10">
        <v>21</v>
      </c>
      <c r="B22" s="11" t="s">
        <v>42</v>
      </c>
      <c r="C22" s="10" t="s">
        <v>28</v>
      </c>
      <c r="D22" s="12">
        <v>45646</v>
      </c>
      <c r="E22" s="13">
        <f>COUNTIF(文章清单!C:C,B22)</f>
        <v>0</v>
      </c>
    </row>
    <row r="23" s="9" customFormat="1" spans="1:5">
      <c r="A23" s="10">
        <v>22</v>
      </c>
      <c r="B23" s="11" t="s">
        <v>43</v>
      </c>
      <c r="C23" s="10" t="s">
        <v>28</v>
      </c>
      <c r="D23" s="12">
        <v>45646</v>
      </c>
      <c r="E23" s="13">
        <f>COUNTIF(文章清单!C:C,B23)</f>
        <v>0</v>
      </c>
    </row>
    <row r="24" s="9" customFormat="1" spans="1:5">
      <c r="A24" s="10">
        <v>23</v>
      </c>
      <c r="B24" s="11" t="s">
        <v>44</v>
      </c>
      <c r="C24" s="10" t="s">
        <v>35</v>
      </c>
      <c r="D24" s="12">
        <v>45646</v>
      </c>
      <c r="E24" s="13">
        <f>COUNTIF(文章清单!C:C,B24)</f>
        <v>0</v>
      </c>
    </row>
    <row r="25" s="9" customFormat="1" spans="1:5">
      <c r="A25" s="10">
        <v>24</v>
      </c>
      <c r="B25" s="11" t="s">
        <v>45</v>
      </c>
      <c r="C25" s="10" t="s">
        <v>28</v>
      </c>
      <c r="D25" s="12">
        <v>45646</v>
      </c>
      <c r="E25" s="13">
        <f>COUNTIF(文章清单!C:C,B25)</f>
        <v>0</v>
      </c>
    </row>
    <row r="26" s="9" customFormat="1" spans="1:5">
      <c r="A26" s="10">
        <v>25</v>
      </c>
      <c r="B26" s="11" t="s">
        <v>46</v>
      </c>
      <c r="C26" s="10" t="s">
        <v>22</v>
      </c>
      <c r="D26" s="12">
        <v>45646</v>
      </c>
      <c r="E26" s="13">
        <f>COUNTIF(文章清单!C:C,B26)</f>
        <v>0</v>
      </c>
    </row>
    <row r="27" s="9" customFormat="1" spans="1:5">
      <c r="A27" s="10">
        <v>26</v>
      </c>
      <c r="B27" s="11" t="s">
        <v>47</v>
      </c>
      <c r="C27" s="10" t="s">
        <v>35</v>
      </c>
      <c r="D27" s="12">
        <v>45646</v>
      </c>
      <c r="E27" s="13">
        <f>COUNTIF(文章清单!C:C,B27)</f>
        <v>0</v>
      </c>
    </row>
    <row r="28" s="9" customFormat="1" spans="1:5">
      <c r="A28" s="10">
        <v>27</v>
      </c>
      <c r="B28" s="11" t="s">
        <v>48</v>
      </c>
      <c r="C28" s="10" t="s">
        <v>22</v>
      </c>
      <c r="D28" s="12">
        <v>45646</v>
      </c>
      <c r="E28" s="13">
        <f>COUNTIF(文章清单!C:C,B28)</f>
        <v>0</v>
      </c>
    </row>
    <row r="29" s="9" customFormat="1" spans="1:5">
      <c r="A29" s="10">
        <v>28</v>
      </c>
      <c r="B29" s="11" t="s">
        <v>49</v>
      </c>
      <c r="C29" s="10" t="s">
        <v>28</v>
      </c>
      <c r="D29" s="12">
        <v>45646</v>
      </c>
      <c r="E29" s="13">
        <f>COUNTIF(文章清单!C:C,B29)</f>
        <v>0</v>
      </c>
    </row>
    <row r="30" s="9" customFormat="1" spans="1:5">
      <c r="A30" s="10">
        <v>29</v>
      </c>
      <c r="B30" s="11" t="s">
        <v>50</v>
      </c>
      <c r="C30" s="10" t="s">
        <v>35</v>
      </c>
      <c r="D30" s="12">
        <v>45646</v>
      </c>
      <c r="E30" s="13">
        <f>COUNTIF(文章清单!C:C,B30)</f>
        <v>0</v>
      </c>
    </row>
    <row r="31" s="9" customFormat="1" spans="1:5">
      <c r="A31" s="10">
        <v>30</v>
      </c>
      <c r="B31" s="11" t="s">
        <v>51</v>
      </c>
      <c r="C31" s="10" t="s">
        <v>28</v>
      </c>
      <c r="D31" s="12">
        <v>45646</v>
      </c>
      <c r="E31" s="13">
        <f>COUNTIF(文章清单!C:C,B31)</f>
        <v>0</v>
      </c>
    </row>
    <row r="32" s="9" customFormat="1" spans="1:5">
      <c r="A32" s="10">
        <v>31</v>
      </c>
      <c r="B32" s="11" t="s">
        <v>52</v>
      </c>
      <c r="C32" s="10" t="s">
        <v>28</v>
      </c>
      <c r="D32" s="12">
        <v>45646</v>
      </c>
      <c r="E32" s="13">
        <f>COUNTIF(文章清单!C:C,B32)</f>
        <v>0</v>
      </c>
    </row>
    <row r="33" s="9" customFormat="1" spans="1:5">
      <c r="A33" s="10">
        <v>32</v>
      </c>
      <c r="B33" s="11" t="s">
        <v>53</v>
      </c>
      <c r="C33" s="10" t="s">
        <v>28</v>
      </c>
      <c r="D33" s="12">
        <v>45646</v>
      </c>
      <c r="E33" s="13">
        <f>COUNTIF(文章清单!C:C,B33)</f>
        <v>0</v>
      </c>
    </row>
    <row r="34" s="9" customFormat="1" spans="1:5">
      <c r="A34" s="10">
        <v>33</v>
      </c>
      <c r="B34" s="11" t="s">
        <v>54</v>
      </c>
      <c r="C34" s="10" t="s">
        <v>28</v>
      </c>
      <c r="D34" s="12">
        <v>45646</v>
      </c>
      <c r="E34" s="13">
        <f>COUNTIF(文章清单!C:C,B34)</f>
        <v>0</v>
      </c>
    </row>
    <row r="35" s="9" customFormat="1" spans="1:5">
      <c r="A35" s="10">
        <v>34</v>
      </c>
      <c r="B35" s="11" t="s">
        <v>55</v>
      </c>
      <c r="C35" s="10" t="s">
        <v>22</v>
      </c>
      <c r="D35" s="12">
        <v>45646</v>
      </c>
      <c r="E35" s="13">
        <f>COUNTIF(文章清单!C:C,B35)</f>
        <v>0</v>
      </c>
    </row>
    <row r="36" s="9" customFormat="1" spans="1:5">
      <c r="A36" s="10">
        <v>35</v>
      </c>
      <c r="B36" s="11" t="s">
        <v>56</v>
      </c>
      <c r="C36" s="10" t="s">
        <v>28</v>
      </c>
      <c r="D36" s="12">
        <v>45646</v>
      </c>
      <c r="E36" s="13">
        <f>COUNTIF(文章清单!C:C,B36)</f>
        <v>0</v>
      </c>
    </row>
    <row r="37" s="9" customFormat="1" spans="1:5">
      <c r="A37" s="10">
        <v>36</v>
      </c>
      <c r="B37" s="11" t="s">
        <v>57</v>
      </c>
      <c r="C37" s="10" t="s">
        <v>35</v>
      </c>
      <c r="D37" s="12">
        <v>45646</v>
      </c>
      <c r="E37" s="13">
        <f>COUNTIF(文章清单!C:C,B37)</f>
        <v>0</v>
      </c>
    </row>
    <row r="38" s="9" customFormat="1" spans="1:5">
      <c r="A38" s="10">
        <v>37</v>
      </c>
      <c r="B38" s="11" t="s">
        <v>58</v>
      </c>
      <c r="C38" s="10" t="s">
        <v>28</v>
      </c>
      <c r="D38" s="12">
        <v>45646</v>
      </c>
      <c r="E38" s="13">
        <f>COUNTIF(文章清单!C:C,B38)</f>
        <v>0</v>
      </c>
    </row>
    <row r="39" s="9" customFormat="1" spans="1:5">
      <c r="A39" s="10">
        <v>38</v>
      </c>
      <c r="B39" s="11" t="s">
        <v>59</v>
      </c>
      <c r="C39" s="10" t="s">
        <v>28</v>
      </c>
      <c r="D39" s="12">
        <v>45646</v>
      </c>
      <c r="E39" s="13">
        <f>COUNTIF(文章清单!C:C,B39)</f>
        <v>0</v>
      </c>
    </row>
    <row r="40" s="9" customFormat="1" spans="1:5">
      <c r="A40" s="10">
        <v>39</v>
      </c>
      <c r="B40" s="11" t="s">
        <v>60</v>
      </c>
      <c r="C40" s="10" t="s">
        <v>19</v>
      </c>
      <c r="D40" s="12">
        <v>45646</v>
      </c>
      <c r="E40" s="13">
        <f>COUNTIF(文章清单!C:C,B40)</f>
        <v>0</v>
      </c>
    </row>
    <row r="41" s="9" customFormat="1" spans="1:5">
      <c r="A41" s="10">
        <v>40</v>
      </c>
      <c r="B41" s="11" t="s">
        <v>61</v>
      </c>
      <c r="C41" s="10" t="s">
        <v>19</v>
      </c>
      <c r="D41" s="12">
        <v>45646</v>
      </c>
      <c r="E41" s="13">
        <f>COUNTIF(文章清单!C:C,B41)</f>
        <v>0</v>
      </c>
    </row>
    <row r="42" s="9" customFormat="1" spans="1:5">
      <c r="A42" s="10">
        <v>41</v>
      </c>
      <c r="B42" s="11" t="s">
        <v>62</v>
      </c>
      <c r="C42" s="10" t="s">
        <v>19</v>
      </c>
      <c r="D42" s="12">
        <v>45646</v>
      </c>
      <c r="E42" s="13">
        <f>COUNTIF(文章清单!C:C,B42)</f>
        <v>0</v>
      </c>
    </row>
    <row r="43" s="9" customFormat="1" spans="1:5">
      <c r="A43" s="10">
        <v>42</v>
      </c>
      <c r="B43" s="11" t="s">
        <v>63</v>
      </c>
      <c r="C43" s="10" t="s">
        <v>19</v>
      </c>
      <c r="D43" s="12">
        <v>45646</v>
      </c>
      <c r="E43" s="13">
        <f>COUNTIF(文章清单!C:C,B43)</f>
        <v>0</v>
      </c>
    </row>
    <row r="44" s="9" customFormat="1" spans="1:5">
      <c r="A44" s="10">
        <v>43</v>
      </c>
      <c r="B44" s="11" t="s">
        <v>64</v>
      </c>
      <c r="C44" s="10" t="s">
        <v>19</v>
      </c>
      <c r="D44" s="12">
        <v>45646</v>
      </c>
      <c r="E44" s="13">
        <f>COUNTIF(文章清单!C:C,B44)</f>
        <v>0</v>
      </c>
    </row>
    <row r="45" s="9" customFormat="1" spans="1:5">
      <c r="A45" s="10">
        <v>44</v>
      </c>
      <c r="B45" s="11" t="s">
        <v>65</v>
      </c>
      <c r="C45" s="10" t="s">
        <v>19</v>
      </c>
      <c r="D45" s="12">
        <v>45646</v>
      </c>
      <c r="E45" s="13">
        <f>COUNTIF(文章清单!C:C,B45)</f>
        <v>0</v>
      </c>
    </row>
    <row r="46" s="9" customFormat="1" spans="1:5">
      <c r="A46" s="10">
        <v>45</v>
      </c>
      <c r="B46" s="11" t="s">
        <v>66</v>
      </c>
      <c r="C46" s="10" t="s">
        <v>19</v>
      </c>
      <c r="D46" s="12">
        <v>45646</v>
      </c>
      <c r="E46" s="13">
        <f>COUNTIF(文章清单!C:C,B46)</f>
        <v>0</v>
      </c>
    </row>
    <row r="47" s="9" customFormat="1" spans="1:5">
      <c r="A47" s="10">
        <v>46</v>
      </c>
      <c r="B47" s="11" t="s">
        <v>67</v>
      </c>
      <c r="C47" s="10" t="s">
        <v>19</v>
      </c>
      <c r="D47" s="12">
        <v>45646</v>
      </c>
      <c r="E47" s="13">
        <f>COUNTIF(文章清单!C:C,B47)</f>
        <v>0</v>
      </c>
    </row>
    <row r="48" s="9" customFormat="1" spans="1:5">
      <c r="A48" s="10">
        <v>47</v>
      </c>
      <c r="B48" s="11" t="s">
        <v>68</v>
      </c>
      <c r="C48" s="10" t="s">
        <v>19</v>
      </c>
      <c r="D48" s="12">
        <v>45646</v>
      </c>
      <c r="E48" s="13">
        <f>COUNTIF(文章清单!C:C,B48)</f>
        <v>0</v>
      </c>
    </row>
    <row r="49" s="9" customFormat="1" spans="1:5">
      <c r="A49" s="10">
        <v>48</v>
      </c>
      <c r="B49" s="11" t="s">
        <v>69</v>
      </c>
      <c r="C49" s="10" t="s">
        <v>19</v>
      </c>
      <c r="D49" s="12">
        <v>45646</v>
      </c>
      <c r="E49" s="13">
        <f>COUNTIF(文章清单!C:C,B49)</f>
        <v>0</v>
      </c>
    </row>
    <row r="50" s="9" customFormat="1" spans="1:5">
      <c r="A50" s="10">
        <v>49</v>
      </c>
      <c r="B50" s="11" t="s">
        <v>70</v>
      </c>
      <c r="C50" s="10" t="s">
        <v>19</v>
      </c>
      <c r="D50" s="12">
        <v>45646</v>
      </c>
      <c r="E50" s="13">
        <f>COUNTIF(文章清单!C:C,B50)</f>
        <v>0</v>
      </c>
    </row>
    <row r="51" s="9" customFormat="1" spans="1:5">
      <c r="A51" s="10">
        <v>50</v>
      </c>
      <c r="B51" s="11" t="s">
        <v>71</v>
      </c>
      <c r="C51" s="10" t="s">
        <v>19</v>
      </c>
      <c r="D51" s="12">
        <v>45646</v>
      </c>
      <c r="E51" s="13">
        <f>COUNTIF(文章清单!C:C,B51)</f>
        <v>0</v>
      </c>
    </row>
    <row r="52" s="9" customFormat="1" spans="1:5">
      <c r="A52" s="10">
        <v>51</v>
      </c>
      <c r="B52" s="11" t="s">
        <v>72</v>
      </c>
      <c r="C52" s="10" t="s">
        <v>19</v>
      </c>
      <c r="D52" s="12">
        <v>45646</v>
      </c>
      <c r="E52" s="13">
        <f>COUNTIF(文章清单!C:C,B52)</f>
        <v>0</v>
      </c>
    </row>
    <row r="53" s="9" customFormat="1" spans="1:5">
      <c r="A53" s="10">
        <v>52</v>
      </c>
      <c r="B53" s="11" t="s">
        <v>73</v>
      </c>
      <c r="C53" s="10" t="s">
        <v>19</v>
      </c>
      <c r="D53" s="12">
        <v>45646</v>
      </c>
      <c r="E53" s="13">
        <f>COUNTIF(文章清单!C:C,B53)</f>
        <v>0</v>
      </c>
    </row>
    <row r="54" s="9" customFormat="1" spans="1:5">
      <c r="A54" s="10">
        <v>53</v>
      </c>
      <c r="B54" s="11" t="s">
        <v>74</v>
      </c>
      <c r="C54" s="10" t="s">
        <v>19</v>
      </c>
      <c r="D54" s="12">
        <v>45646</v>
      </c>
      <c r="E54" s="13">
        <f>COUNTIF(文章清单!C:C,B54)</f>
        <v>0</v>
      </c>
    </row>
    <row r="55" s="9" customFormat="1" spans="1:5">
      <c r="A55" s="10">
        <v>54</v>
      </c>
      <c r="B55" s="11" t="s">
        <v>75</v>
      </c>
      <c r="C55" s="10" t="s">
        <v>19</v>
      </c>
      <c r="D55" s="12">
        <v>45646</v>
      </c>
      <c r="E55" s="13">
        <f>COUNTIF(文章清单!C:C,B55)</f>
        <v>0</v>
      </c>
    </row>
    <row r="56" s="9" customFormat="1" spans="1:5">
      <c r="A56" s="10">
        <v>55</v>
      </c>
      <c r="B56" s="11" t="s">
        <v>76</v>
      </c>
      <c r="C56" s="10" t="s">
        <v>77</v>
      </c>
      <c r="D56" s="12">
        <v>45646</v>
      </c>
      <c r="E56" s="13">
        <f>COUNTIF(文章清单!C:C,B56)</f>
        <v>0</v>
      </c>
    </row>
    <row r="57" s="9" customFormat="1" spans="1:5">
      <c r="A57" s="10">
        <v>56</v>
      </c>
      <c r="B57" s="11" t="s">
        <v>78</v>
      </c>
      <c r="C57" s="10" t="s">
        <v>22</v>
      </c>
      <c r="D57" s="12">
        <v>45646</v>
      </c>
      <c r="E57" s="13">
        <f>COUNTIF(文章清单!C:C,B57)</f>
        <v>0</v>
      </c>
    </row>
    <row r="58" s="9" customFormat="1" spans="1:5">
      <c r="A58" s="10">
        <v>57</v>
      </c>
      <c r="B58" s="11" t="s">
        <v>79</v>
      </c>
      <c r="C58" s="10" t="s">
        <v>19</v>
      </c>
      <c r="D58" s="12">
        <v>45646</v>
      </c>
      <c r="E58" s="13">
        <f>COUNTIF(文章清单!C:C,B58)</f>
        <v>0</v>
      </c>
    </row>
    <row r="59" s="9" customFormat="1" spans="1:5">
      <c r="A59" s="10">
        <v>58</v>
      </c>
      <c r="B59" s="11" t="s">
        <v>80</v>
      </c>
      <c r="C59" s="10" t="s">
        <v>35</v>
      </c>
      <c r="D59" s="12">
        <v>45646</v>
      </c>
      <c r="E59" s="13">
        <f>COUNTIF(文章清单!C:C,B59)</f>
        <v>0</v>
      </c>
    </row>
    <row r="60" s="9" customFormat="1" spans="1:5">
      <c r="A60" s="10">
        <v>59</v>
      </c>
      <c r="B60" s="11" t="s">
        <v>81</v>
      </c>
      <c r="C60" s="10" t="s">
        <v>19</v>
      </c>
      <c r="D60" s="12">
        <v>45646</v>
      </c>
      <c r="E60" s="13">
        <f>COUNTIF(文章清单!C:C,B60)</f>
        <v>0</v>
      </c>
    </row>
    <row r="61" s="9" customFormat="1" spans="1:5">
      <c r="A61" s="10">
        <v>60</v>
      </c>
      <c r="B61" s="11" t="s">
        <v>82</v>
      </c>
      <c r="C61" s="10" t="s">
        <v>19</v>
      </c>
      <c r="D61" s="12">
        <v>45646</v>
      </c>
      <c r="E61" s="13">
        <f>COUNTIF(文章清单!C:C,B61)</f>
        <v>0</v>
      </c>
    </row>
    <row r="62" s="9" customFormat="1" spans="1:5">
      <c r="A62" s="10">
        <v>61</v>
      </c>
      <c r="B62" s="11" t="s">
        <v>83</v>
      </c>
      <c r="C62" s="10" t="s">
        <v>84</v>
      </c>
      <c r="D62" s="12">
        <v>45646</v>
      </c>
      <c r="E62" s="13">
        <f>COUNTIF(文章清单!C:C,B62)</f>
        <v>0</v>
      </c>
    </row>
    <row r="63" s="9" customFormat="1" spans="1:5">
      <c r="A63" s="10">
        <v>62</v>
      </c>
      <c r="B63" s="11" t="s">
        <v>85</v>
      </c>
      <c r="C63" s="10" t="s">
        <v>77</v>
      </c>
      <c r="D63" s="12">
        <v>45646</v>
      </c>
      <c r="E63" s="13">
        <f>COUNTIF(文章清单!C:C,B63)</f>
        <v>0</v>
      </c>
    </row>
    <row r="64" s="9" customFormat="1" spans="1:5">
      <c r="A64" s="10">
        <v>63</v>
      </c>
      <c r="B64" s="11" t="s">
        <v>86</v>
      </c>
      <c r="C64" s="10" t="s">
        <v>19</v>
      </c>
      <c r="D64" s="12">
        <v>45646</v>
      </c>
      <c r="E64" s="13">
        <f>COUNTIF(文章清单!C:C,B64)</f>
        <v>0</v>
      </c>
    </row>
    <row r="65" s="9" customFormat="1" spans="1:5">
      <c r="A65" s="10">
        <v>64</v>
      </c>
      <c r="B65" s="11" t="s">
        <v>87</v>
      </c>
      <c r="C65" s="10" t="s">
        <v>19</v>
      </c>
      <c r="D65" s="12">
        <v>45646</v>
      </c>
      <c r="E65" s="13">
        <f>COUNTIF(文章清单!C:C,B65)</f>
        <v>0</v>
      </c>
    </row>
    <row r="66" s="9" customFormat="1" spans="1:5">
      <c r="A66" s="10">
        <v>65</v>
      </c>
      <c r="B66" s="11" t="s">
        <v>88</v>
      </c>
      <c r="C66" s="10" t="s">
        <v>22</v>
      </c>
      <c r="D66" s="12">
        <v>45646</v>
      </c>
      <c r="E66" s="13">
        <f>COUNTIF(文章清单!C:C,B66)</f>
        <v>0</v>
      </c>
    </row>
    <row r="67" s="9" customFormat="1" spans="1:5">
      <c r="A67" s="10">
        <v>66</v>
      </c>
      <c r="B67" s="11" t="s">
        <v>89</v>
      </c>
      <c r="C67" s="10" t="s">
        <v>19</v>
      </c>
      <c r="D67" s="12">
        <v>45646</v>
      </c>
      <c r="E67" s="13">
        <f>COUNTIF(文章清单!C:C,B67)</f>
        <v>0</v>
      </c>
    </row>
    <row r="68" s="9" customFormat="1" spans="1:5">
      <c r="A68" s="10">
        <v>67</v>
      </c>
      <c r="B68" s="11" t="s">
        <v>90</v>
      </c>
      <c r="C68" s="10" t="s">
        <v>22</v>
      </c>
      <c r="D68" s="12">
        <v>45646</v>
      </c>
      <c r="E68" s="13">
        <f>COUNTIF(文章清单!C:C,B68)</f>
        <v>0</v>
      </c>
    </row>
    <row r="69" s="9" customFormat="1" spans="1:5">
      <c r="A69" s="10">
        <v>68</v>
      </c>
      <c r="B69" s="11" t="s">
        <v>91</v>
      </c>
      <c r="C69" s="10" t="s">
        <v>22</v>
      </c>
      <c r="D69" s="12">
        <v>45646</v>
      </c>
      <c r="E69" s="13">
        <f>COUNTIF(文章清单!C:C,B69)</f>
        <v>0</v>
      </c>
    </row>
    <row r="70" s="9" customFormat="1" spans="1:5">
      <c r="A70" s="10">
        <v>69</v>
      </c>
      <c r="B70" s="11" t="s">
        <v>92</v>
      </c>
      <c r="C70" s="10" t="s">
        <v>28</v>
      </c>
      <c r="D70" s="12">
        <v>45646</v>
      </c>
      <c r="E70" s="13">
        <f>COUNTIF(文章清单!C:C,B70)</f>
        <v>0</v>
      </c>
    </row>
    <row r="71" s="9" customFormat="1" spans="1:5">
      <c r="A71" s="10">
        <v>70</v>
      </c>
      <c r="B71" s="11" t="s">
        <v>93</v>
      </c>
      <c r="C71" s="10" t="s">
        <v>22</v>
      </c>
      <c r="D71" s="12">
        <v>45646</v>
      </c>
      <c r="E71" s="13">
        <f>COUNTIF(文章清单!C:C,B71)</f>
        <v>0</v>
      </c>
    </row>
    <row r="72" s="9" customFormat="1" spans="1:5">
      <c r="A72" s="10">
        <v>71</v>
      </c>
      <c r="B72" s="11" t="s">
        <v>94</v>
      </c>
      <c r="C72" s="10" t="s">
        <v>22</v>
      </c>
      <c r="D72" s="12">
        <v>45646</v>
      </c>
      <c r="E72" s="13">
        <f>COUNTIF(文章清单!C:C,B72)</f>
        <v>0</v>
      </c>
    </row>
    <row r="73" s="9" customFormat="1" spans="1:5">
      <c r="A73" s="10">
        <v>72</v>
      </c>
      <c r="B73" s="11" t="s">
        <v>95</v>
      </c>
      <c r="C73" s="10" t="s">
        <v>22</v>
      </c>
      <c r="D73" s="12">
        <v>45646</v>
      </c>
      <c r="E73" s="13">
        <f>COUNTIF(文章清单!C:C,B73)</f>
        <v>0</v>
      </c>
    </row>
    <row r="74" s="9" customFormat="1" spans="1:5">
      <c r="A74" s="10">
        <v>73</v>
      </c>
      <c r="B74" s="11" t="s">
        <v>96</v>
      </c>
      <c r="C74" s="10" t="s">
        <v>19</v>
      </c>
      <c r="D74" s="12">
        <v>45646</v>
      </c>
      <c r="E74" s="13">
        <f>COUNTIF(文章清单!C:C,B74)</f>
        <v>0</v>
      </c>
    </row>
    <row r="75" s="9" customFormat="1" spans="1:5">
      <c r="A75" s="10">
        <v>74</v>
      </c>
      <c r="B75" s="11" t="s">
        <v>97</v>
      </c>
      <c r="C75" s="10" t="s">
        <v>19</v>
      </c>
      <c r="D75" s="12">
        <v>45646</v>
      </c>
      <c r="E75" s="13">
        <f>COUNTIF(文章清单!C:C,B75)</f>
        <v>0</v>
      </c>
    </row>
    <row r="76" s="9" customFormat="1" spans="1:5">
      <c r="A76" s="10">
        <v>75</v>
      </c>
      <c r="B76" s="11" t="s">
        <v>98</v>
      </c>
      <c r="C76" s="10" t="s">
        <v>19</v>
      </c>
      <c r="D76" s="12">
        <v>45646</v>
      </c>
      <c r="E76" s="13">
        <f>COUNTIF(文章清单!C:C,B76)</f>
        <v>0</v>
      </c>
    </row>
    <row r="77" s="9" customFormat="1" spans="1:5">
      <c r="A77" s="10">
        <v>76</v>
      </c>
      <c r="B77" s="11" t="s">
        <v>99</v>
      </c>
      <c r="C77" s="10" t="s">
        <v>77</v>
      </c>
      <c r="D77" s="12">
        <v>45646</v>
      </c>
      <c r="E77" s="13">
        <f>COUNTIF(文章清单!C:C,B77)</f>
        <v>0</v>
      </c>
    </row>
    <row r="78" s="9" customFormat="1" spans="1:5">
      <c r="A78" s="10">
        <v>77</v>
      </c>
      <c r="B78" s="11" t="s">
        <v>100</v>
      </c>
      <c r="C78" s="10" t="s">
        <v>19</v>
      </c>
      <c r="D78" s="12">
        <v>45646</v>
      </c>
      <c r="E78" s="13">
        <f>COUNTIF(文章清单!C:C,B78)</f>
        <v>0</v>
      </c>
    </row>
    <row r="79" s="9" customFormat="1" spans="1:5">
      <c r="A79" s="10">
        <v>78</v>
      </c>
      <c r="B79" s="11" t="s">
        <v>101</v>
      </c>
      <c r="C79" s="10" t="s">
        <v>19</v>
      </c>
      <c r="D79" s="12">
        <v>45646</v>
      </c>
      <c r="E79" s="13">
        <f>COUNTIF(文章清单!C:C,B79)</f>
        <v>0</v>
      </c>
    </row>
    <row r="80" s="9" customFormat="1" spans="1:5">
      <c r="A80" s="10">
        <v>79</v>
      </c>
      <c r="B80" s="11" t="s">
        <v>102</v>
      </c>
      <c r="C80" s="10" t="s">
        <v>22</v>
      </c>
      <c r="D80" s="12">
        <v>45646</v>
      </c>
      <c r="E80" s="13">
        <f>COUNTIF(文章清单!C:C,B80)</f>
        <v>0</v>
      </c>
    </row>
    <row r="81" s="9" customFormat="1" spans="1:5">
      <c r="A81" s="10">
        <v>80</v>
      </c>
      <c r="B81" s="11" t="s">
        <v>103</v>
      </c>
      <c r="C81" s="10" t="s">
        <v>22</v>
      </c>
      <c r="D81" s="12">
        <v>45646</v>
      </c>
      <c r="E81" s="13">
        <f>COUNTIF(文章清单!C:C,B81)</f>
        <v>0</v>
      </c>
    </row>
    <row r="82" s="9" customFormat="1" spans="1:5">
      <c r="A82" s="10">
        <v>81</v>
      </c>
      <c r="B82" s="11" t="s">
        <v>104</v>
      </c>
      <c r="C82" s="10" t="s">
        <v>22</v>
      </c>
      <c r="D82" s="12">
        <v>45646</v>
      </c>
      <c r="E82" s="13">
        <f>COUNTIF(文章清单!C:C,B82)</f>
        <v>0</v>
      </c>
    </row>
    <row r="83" s="9" customFormat="1" spans="1:5">
      <c r="A83" s="10">
        <v>82</v>
      </c>
      <c r="B83" s="11" t="s">
        <v>105</v>
      </c>
      <c r="C83" s="10" t="s">
        <v>22</v>
      </c>
      <c r="D83" s="12">
        <v>45646</v>
      </c>
      <c r="E83" s="13">
        <f>COUNTIF(文章清单!C:C,B83)</f>
        <v>0</v>
      </c>
    </row>
    <row r="84" s="9" customFormat="1" spans="1:5">
      <c r="A84" s="10">
        <v>83</v>
      </c>
      <c r="B84" s="11" t="s">
        <v>106</v>
      </c>
      <c r="C84" s="10" t="s">
        <v>19</v>
      </c>
      <c r="D84" s="12">
        <v>45646</v>
      </c>
      <c r="E84" s="13">
        <f>COUNTIF(文章清单!C:C,B84)</f>
        <v>0</v>
      </c>
    </row>
    <row r="85" s="9" customFormat="1" spans="1:5">
      <c r="A85" s="10">
        <v>84</v>
      </c>
      <c r="B85" s="11" t="s">
        <v>107</v>
      </c>
      <c r="C85" s="10" t="s">
        <v>22</v>
      </c>
      <c r="D85" s="12">
        <v>45646</v>
      </c>
      <c r="E85" s="13">
        <f>COUNTIF(文章清单!C:C,B85)</f>
        <v>0</v>
      </c>
    </row>
    <row r="86" s="9" customFormat="1" spans="1:5">
      <c r="A86" s="10">
        <v>85</v>
      </c>
      <c r="B86" s="11" t="s">
        <v>108</v>
      </c>
      <c r="C86" s="10" t="s">
        <v>19</v>
      </c>
      <c r="D86" s="12">
        <v>45646</v>
      </c>
      <c r="E86" s="13">
        <f>COUNTIF(文章清单!C:C,B86)</f>
        <v>0</v>
      </c>
    </row>
    <row r="87" s="9" customFormat="1" spans="1:5">
      <c r="A87" s="10">
        <v>86</v>
      </c>
      <c r="B87" s="11" t="s">
        <v>109</v>
      </c>
      <c r="C87" s="10" t="s">
        <v>22</v>
      </c>
      <c r="D87" s="12">
        <v>45646</v>
      </c>
      <c r="E87" s="13">
        <f>COUNTIF(文章清单!C:C,B87)</f>
        <v>0</v>
      </c>
    </row>
    <row r="88" s="9" customFormat="1" spans="1:5">
      <c r="A88" s="10">
        <v>87</v>
      </c>
      <c r="B88" s="11" t="s">
        <v>110</v>
      </c>
      <c r="C88" s="10" t="s">
        <v>84</v>
      </c>
      <c r="D88" s="12">
        <v>45646</v>
      </c>
      <c r="E88" s="13">
        <f>COUNTIF(文章清单!C:C,B88)</f>
        <v>0</v>
      </c>
    </row>
    <row r="89" s="9" customFormat="1" spans="1:5">
      <c r="A89" s="10">
        <v>88</v>
      </c>
      <c r="B89" s="11" t="s">
        <v>111</v>
      </c>
      <c r="C89" s="10" t="s">
        <v>77</v>
      </c>
      <c r="D89" s="12">
        <v>45646</v>
      </c>
      <c r="E89" s="13">
        <f>COUNTIF(文章清单!C:C,B89)</f>
        <v>0</v>
      </c>
    </row>
    <row r="90" s="9" customFormat="1" spans="1:5">
      <c r="A90" s="10">
        <v>89</v>
      </c>
      <c r="B90" s="11" t="s">
        <v>112</v>
      </c>
      <c r="C90" s="10" t="s">
        <v>19</v>
      </c>
      <c r="D90" s="12">
        <v>45646</v>
      </c>
      <c r="E90" s="13">
        <f>COUNTIF(文章清单!C:C,B90)</f>
        <v>0</v>
      </c>
    </row>
    <row r="91" s="9" customFormat="1" spans="1:5">
      <c r="A91" s="10">
        <v>90</v>
      </c>
      <c r="B91" s="11" t="s">
        <v>113</v>
      </c>
      <c r="C91" s="10" t="s">
        <v>22</v>
      </c>
      <c r="D91" s="12">
        <v>45646</v>
      </c>
      <c r="E91" s="13">
        <f>COUNTIF(文章清单!C:C,B91)</f>
        <v>0</v>
      </c>
    </row>
    <row r="92" s="9" customFormat="1" spans="1:5">
      <c r="A92" s="10">
        <v>91</v>
      </c>
      <c r="B92" s="11" t="s">
        <v>114</v>
      </c>
      <c r="C92" s="10" t="s">
        <v>28</v>
      </c>
      <c r="D92" s="12">
        <v>45651</v>
      </c>
      <c r="E92" s="13">
        <f>COUNTIF(文章清单!C:C,B92)</f>
        <v>0</v>
      </c>
    </row>
    <row r="93" s="9" customFormat="1" spans="1:5">
      <c r="A93" s="10">
        <v>92</v>
      </c>
      <c r="B93" s="11" t="s">
        <v>115</v>
      </c>
      <c r="C93" s="10" t="s">
        <v>28</v>
      </c>
      <c r="D93" s="12">
        <v>45651</v>
      </c>
      <c r="E93" s="13">
        <f>COUNTIF(文章清单!C:C,B93)</f>
        <v>0</v>
      </c>
    </row>
    <row r="94" s="9" customFormat="1" spans="1:5">
      <c r="A94" s="10">
        <v>93</v>
      </c>
      <c r="B94" s="11" t="s">
        <v>116</v>
      </c>
      <c r="C94" s="10" t="s">
        <v>22</v>
      </c>
      <c r="D94" s="12">
        <v>45651</v>
      </c>
      <c r="E94" s="13">
        <f>COUNTIF(文章清单!C:C,B94)</f>
        <v>0</v>
      </c>
    </row>
    <row r="95" s="9" customFormat="1" spans="1:5">
      <c r="A95" s="10">
        <v>94</v>
      </c>
      <c r="B95" s="11" t="s">
        <v>117</v>
      </c>
      <c r="C95" s="10" t="s">
        <v>28</v>
      </c>
      <c r="D95" s="12">
        <v>45651</v>
      </c>
      <c r="E95" s="13">
        <f>COUNTIF(文章清单!C:C,B95)</f>
        <v>0</v>
      </c>
    </row>
    <row r="96" s="9" customFormat="1" spans="1:5">
      <c r="A96" s="10">
        <v>95</v>
      </c>
      <c r="B96" s="11" t="s">
        <v>118</v>
      </c>
      <c r="C96" s="10" t="s">
        <v>28</v>
      </c>
      <c r="D96" s="12">
        <v>45651</v>
      </c>
      <c r="E96" s="13">
        <f>COUNTIF(文章清单!C:C,B96)</f>
        <v>0</v>
      </c>
    </row>
    <row r="97" s="9" customFormat="1" spans="1:5">
      <c r="A97" s="10">
        <v>96</v>
      </c>
      <c r="B97" s="11" t="s">
        <v>119</v>
      </c>
      <c r="C97" s="10" t="s">
        <v>28</v>
      </c>
      <c r="D97" s="12">
        <v>45651</v>
      </c>
      <c r="E97" s="13">
        <f>COUNTIF(文章清单!C:C,B97)</f>
        <v>0</v>
      </c>
    </row>
    <row r="98" s="9" customFormat="1" spans="1:5">
      <c r="A98" s="10">
        <v>97</v>
      </c>
      <c r="B98" s="11" t="s">
        <v>120</v>
      </c>
      <c r="C98" s="10" t="s">
        <v>28</v>
      </c>
      <c r="D98" s="12">
        <v>45651</v>
      </c>
      <c r="E98" s="13">
        <f>COUNTIF(文章清单!C:C,B98)</f>
        <v>0</v>
      </c>
    </row>
    <row r="99" s="9" customFormat="1" spans="1:5">
      <c r="A99" s="10">
        <v>98</v>
      </c>
      <c r="B99" s="11" t="s">
        <v>121</v>
      </c>
      <c r="C99" s="10" t="s">
        <v>28</v>
      </c>
      <c r="D99" s="12">
        <v>45651</v>
      </c>
      <c r="E99" s="13">
        <f>COUNTIF(文章清单!C:C,B99)</f>
        <v>0</v>
      </c>
    </row>
    <row r="100" s="9" customFormat="1" spans="1:5">
      <c r="A100" s="10">
        <v>99</v>
      </c>
      <c r="B100" s="11" t="s">
        <v>122</v>
      </c>
      <c r="C100" s="10" t="s">
        <v>28</v>
      </c>
      <c r="D100" s="12">
        <v>45651</v>
      </c>
      <c r="E100" s="13">
        <f>COUNTIF(文章清单!C:C,B100)</f>
        <v>0</v>
      </c>
    </row>
    <row r="101" s="9" customFormat="1" spans="1:5">
      <c r="A101" s="10">
        <v>100</v>
      </c>
      <c r="B101" s="11" t="s">
        <v>123</v>
      </c>
      <c r="C101" s="10" t="s">
        <v>28</v>
      </c>
      <c r="D101" s="12">
        <v>45651</v>
      </c>
      <c r="E101" s="13">
        <f>COUNTIF(文章清单!C:C,B101)</f>
        <v>0</v>
      </c>
    </row>
    <row r="102" s="9" customFormat="1" spans="1:5">
      <c r="A102" s="10">
        <v>101</v>
      </c>
      <c r="B102" s="11" t="s">
        <v>124</v>
      </c>
      <c r="C102" s="10" t="s">
        <v>28</v>
      </c>
      <c r="D102" s="12">
        <v>45651</v>
      </c>
      <c r="E102" s="13">
        <f>COUNTIF(文章清单!C:C,B102)</f>
        <v>0</v>
      </c>
    </row>
    <row r="103" s="9" customFormat="1" spans="1:5">
      <c r="A103" s="10">
        <v>102</v>
      </c>
      <c r="B103" s="11" t="s">
        <v>125</v>
      </c>
      <c r="C103" s="10" t="s">
        <v>28</v>
      </c>
      <c r="D103" s="12">
        <v>45651</v>
      </c>
      <c r="E103" s="13">
        <f>COUNTIF(文章清单!C:C,B103)</f>
        <v>0</v>
      </c>
    </row>
    <row r="104" s="9" customFormat="1" spans="1:5">
      <c r="A104" s="10">
        <v>103</v>
      </c>
      <c r="B104" s="11" t="s">
        <v>126</v>
      </c>
      <c r="C104" s="10" t="s">
        <v>28</v>
      </c>
      <c r="D104" s="12">
        <v>45651</v>
      </c>
      <c r="E104" s="13">
        <f>COUNTIF(文章清单!C:C,B104)</f>
        <v>0</v>
      </c>
    </row>
    <row r="105" s="9" customFormat="1" spans="1:5">
      <c r="A105" s="10">
        <v>104</v>
      </c>
      <c r="B105" s="11" t="s">
        <v>127</v>
      </c>
      <c r="C105" s="10" t="s">
        <v>28</v>
      </c>
      <c r="D105" s="12">
        <v>45651</v>
      </c>
      <c r="E105" s="13">
        <f>COUNTIF(文章清单!C:C,B105)</f>
        <v>0</v>
      </c>
    </row>
    <row r="106" s="9" customFormat="1" spans="1:5">
      <c r="A106" s="10">
        <v>105</v>
      </c>
      <c r="B106" s="11" t="s">
        <v>128</v>
      </c>
      <c r="C106" s="10" t="s">
        <v>28</v>
      </c>
      <c r="D106" s="12">
        <v>45651</v>
      </c>
      <c r="E106" s="13">
        <f>COUNTIF(文章清单!C:C,B106)</f>
        <v>0</v>
      </c>
    </row>
    <row r="107" s="9" customFormat="1" spans="1:5">
      <c r="A107" s="10">
        <v>106</v>
      </c>
      <c r="B107" s="11" t="s">
        <v>129</v>
      </c>
      <c r="C107" s="10" t="s">
        <v>28</v>
      </c>
      <c r="D107" s="12">
        <v>45651</v>
      </c>
      <c r="E107" s="13">
        <f>COUNTIF(文章清单!C:C,B107)</f>
        <v>0</v>
      </c>
    </row>
    <row r="108" s="9" customFormat="1" spans="1:5">
      <c r="A108" s="10">
        <v>107</v>
      </c>
      <c r="B108" s="11" t="s">
        <v>130</v>
      </c>
      <c r="C108" s="10" t="s">
        <v>84</v>
      </c>
      <c r="D108" s="12">
        <v>45651</v>
      </c>
      <c r="E108" s="13">
        <f>COUNTIF(文章清单!C:C,B108)</f>
        <v>0</v>
      </c>
    </row>
    <row r="109" s="9" customFormat="1" spans="1:5">
      <c r="A109" s="10">
        <v>108</v>
      </c>
      <c r="B109" s="11" t="s">
        <v>131</v>
      </c>
      <c r="C109" s="10" t="s">
        <v>77</v>
      </c>
      <c r="D109" s="12">
        <v>45651</v>
      </c>
      <c r="E109" s="13">
        <f>COUNTIF(文章清单!C:C,B109)</f>
        <v>0</v>
      </c>
    </row>
    <row r="110" s="9" customFormat="1" spans="1:5">
      <c r="A110" s="10">
        <v>109</v>
      </c>
      <c r="B110" s="11" t="s">
        <v>132</v>
      </c>
      <c r="C110" s="10" t="s">
        <v>19</v>
      </c>
      <c r="D110" s="12">
        <v>45651</v>
      </c>
      <c r="E110" s="13">
        <f>COUNTIF(文章清单!C:C,B110)</f>
        <v>0</v>
      </c>
    </row>
    <row r="111" s="9" customFormat="1" spans="1:5">
      <c r="A111" s="10">
        <v>110</v>
      </c>
      <c r="B111" s="11" t="s">
        <v>133</v>
      </c>
      <c r="C111" s="10" t="s">
        <v>28</v>
      </c>
      <c r="D111" s="12">
        <v>45651</v>
      </c>
      <c r="E111" s="13">
        <f>COUNTIF(文章清单!C:C,B111)</f>
        <v>0</v>
      </c>
    </row>
    <row r="112" s="9" customFormat="1" spans="1:5">
      <c r="A112" s="10">
        <v>111</v>
      </c>
      <c r="B112" s="11" t="s">
        <v>134</v>
      </c>
      <c r="C112" s="10" t="s">
        <v>19</v>
      </c>
      <c r="D112" s="12">
        <v>45651</v>
      </c>
      <c r="E112" s="13">
        <f>COUNTIF(文章清单!C:C,B112)</f>
        <v>0</v>
      </c>
    </row>
    <row r="113" s="9" customFormat="1" spans="1:5">
      <c r="A113" s="10">
        <v>112</v>
      </c>
      <c r="B113" s="11" t="s">
        <v>135</v>
      </c>
      <c r="C113" s="10" t="s">
        <v>77</v>
      </c>
      <c r="D113" s="12">
        <v>45651</v>
      </c>
      <c r="E113" s="13">
        <f>COUNTIF(文章清单!C:C,B113)</f>
        <v>0</v>
      </c>
    </row>
    <row r="114" s="9" customFormat="1" spans="1:5">
      <c r="A114" s="10">
        <v>113</v>
      </c>
      <c r="B114" s="11" t="s">
        <v>136</v>
      </c>
      <c r="C114" s="10" t="s">
        <v>28</v>
      </c>
      <c r="D114" s="12">
        <v>45651</v>
      </c>
      <c r="E114" s="13">
        <f>COUNTIF(文章清单!C:C,B114)</f>
        <v>0</v>
      </c>
    </row>
    <row r="115" s="9" customFormat="1" spans="1:5">
      <c r="A115" s="10">
        <v>114</v>
      </c>
      <c r="B115" s="11" t="s">
        <v>137</v>
      </c>
      <c r="C115" s="10" t="s">
        <v>84</v>
      </c>
      <c r="D115" s="12">
        <v>45651</v>
      </c>
      <c r="E115" s="13">
        <f>COUNTIF(文章清单!C:C,B115)</f>
        <v>0</v>
      </c>
    </row>
    <row r="116" s="9" customFormat="1" spans="1:5">
      <c r="A116" s="10">
        <v>115</v>
      </c>
      <c r="B116" s="11" t="s">
        <v>138</v>
      </c>
      <c r="C116" s="10" t="s">
        <v>19</v>
      </c>
      <c r="D116" s="12">
        <v>45651</v>
      </c>
      <c r="E116" s="13">
        <f>COUNTIF(文章清单!C:C,B116)</f>
        <v>0</v>
      </c>
    </row>
    <row r="117" s="9" customFormat="1" spans="1:5">
      <c r="A117" s="10">
        <v>116</v>
      </c>
      <c r="B117" s="11" t="s">
        <v>139</v>
      </c>
      <c r="C117" s="10" t="s">
        <v>19</v>
      </c>
      <c r="D117" s="12">
        <v>45651</v>
      </c>
      <c r="E117" s="13">
        <f>COUNTIF(文章清单!C:C,B117)</f>
        <v>0</v>
      </c>
    </row>
    <row r="118" s="9" customFormat="1" spans="1:5">
      <c r="A118" s="10">
        <v>117</v>
      </c>
      <c r="B118" s="11" t="s">
        <v>140</v>
      </c>
      <c r="C118" s="10" t="s">
        <v>141</v>
      </c>
      <c r="D118" s="12">
        <v>45651</v>
      </c>
      <c r="E118" s="13">
        <f>COUNTIF(文章清单!C:C,B118)</f>
        <v>0</v>
      </c>
    </row>
    <row r="119" s="9" customFormat="1" spans="1:5">
      <c r="A119" s="10">
        <v>118</v>
      </c>
      <c r="B119" s="11" t="s">
        <v>142</v>
      </c>
      <c r="C119" s="10" t="s">
        <v>28</v>
      </c>
      <c r="D119" s="12">
        <v>45651</v>
      </c>
      <c r="E119" s="13">
        <f>COUNTIF(文章清单!C:C,B119)</f>
        <v>0</v>
      </c>
    </row>
    <row r="120" s="9" customFormat="1" spans="1:5">
      <c r="A120" s="10">
        <v>119</v>
      </c>
      <c r="B120" s="11" t="s">
        <v>143</v>
      </c>
      <c r="C120" s="10" t="s">
        <v>28</v>
      </c>
      <c r="D120" s="12">
        <v>45651</v>
      </c>
      <c r="E120" s="13">
        <f>COUNTIF(文章清单!C:C,B120)</f>
        <v>0</v>
      </c>
    </row>
    <row r="121" s="9" customFormat="1" spans="1:5">
      <c r="A121" s="10">
        <v>120</v>
      </c>
      <c r="B121" s="11" t="s">
        <v>144</v>
      </c>
      <c r="C121" s="10" t="s">
        <v>28</v>
      </c>
      <c r="D121" s="12">
        <v>45651</v>
      </c>
      <c r="E121" s="13">
        <f>COUNTIF(文章清单!C:C,B121)</f>
        <v>0</v>
      </c>
    </row>
    <row r="122" s="9" customFormat="1" spans="1:5">
      <c r="A122" s="10">
        <v>121</v>
      </c>
      <c r="B122" s="11" t="s">
        <v>145</v>
      </c>
      <c r="C122" s="10" t="s">
        <v>28</v>
      </c>
      <c r="D122" s="12">
        <v>45651</v>
      </c>
      <c r="E122" s="13">
        <f>COUNTIF(文章清单!C:C,B122)</f>
        <v>0</v>
      </c>
    </row>
    <row r="123" s="9" customFormat="1" spans="1:5">
      <c r="A123" s="10">
        <v>122</v>
      </c>
      <c r="B123" s="11" t="s">
        <v>146</v>
      </c>
      <c r="C123" s="10" t="s">
        <v>28</v>
      </c>
      <c r="D123" s="12">
        <v>45651</v>
      </c>
      <c r="E123" s="13">
        <f>COUNTIF(文章清单!C:C,B123)</f>
        <v>0</v>
      </c>
    </row>
    <row r="124" s="9" customFormat="1" spans="1:5">
      <c r="A124" s="10">
        <v>123</v>
      </c>
      <c r="B124" s="11" t="s">
        <v>147</v>
      </c>
      <c r="C124" s="10" t="s">
        <v>148</v>
      </c>
      <c r="D124" s="12">
        <v>45651</v>
      </c>
      <c r="E124" s="13">
        <f>COUNTIF(文章清单!C:C,B124)</f>
        <v>0</v>
      </c>
    </row>
    <row r="125" s="9" customFormat="1" spans="1:5">
      <c r="A125" s="10">
        <v>124</v>
      </c>
      <c r="B125" s="11" t="s">
        <v>149</v>
      </c>
      <c r="C125" s="10" t="s">
        <v>148</v>
      </c>
      <c r="D125" s="12">
        <v>45651</v>
      </c>
      <c r="E125" s="13">
        <f>COUNTIF(文章清单!C:C,B125)</f>
        <v>0</v>
      </c>
    </row>
    <row r="126" s="9" customFormat="1" spans="1:5">
      <c r="A126" s="10">
        <v>125</v>
      </c>
      <c r="B126" s="11" t="s">
        <v>150</v>
      </c>
      <c r="C126" s="10" t="s">
        <v>148</v>
      </c>
      <c r="D126" s="12">
        <v>45651</v>
      </c>
      <c r="E126" s="13">
        <f>COUNTIF(文章清单!C:C,B126)</f>
        <v>0</v>
      </c>
    </row>
    <row r="127" s="9" customFormat="1" spans="1:5">
      <c r="A127" s="10">
        <v>126</v>
      </c>
      <c r="B127" s="11" t="s">
        <v>151</v>
      </c>
      <c r="C127" s="10" t="s">
        <v>148</v>
      </c>
      <c r="D127" s="12">
        <v>45651</v>
      </c>
      <c r="E127" s="13">
        <f>COUNTIF(文章清单!C:C,B127)</f>
        <v>0</v>
      </c>
    </row>
    <row r="128" s="9" customFormat="1" spans="1:5">
      <c r="A128" s="10">
        <v>127</v>
      </c>
      <c r="B128" s="11" t="s">
        <v>152</v>
      </c>
      <c r="C128" s="10" t="s">
        <v>77</v>
      </c>
      <c r="D128" s="12">
        <v>45651</v>
      </c>
      <c r="E128" s="13">
        <f>COUNTIF(文章清单!C:C,B128)</f>
        <v>0</v>
      </c>
    </row>
    <row r="129" s="9" customFormat="1" spans="1:5">
      <c r="A129" s="10">
        <v>128</v>
      </c>
      <c r="B129" s="11" t="s">
        <v>153</v>
      </c>
      <c r="C129" s="10" t="s">
        <v>22</v>
      </c>
      <c r="D129" s="12">
        <v>45651</v>
      </c>
      <c r="E129" s="13">
        <f>COUNTIF(文章清单!C:C,B129)</f>
        <v>0</v>
      </c>
    </row>
    <row r="130" s="9" customFormat="1" spans="1:5">
      <c r="A130" s="10">
        <v>129</v>
      </c>
      <c r="B130" s="11" t="s">
        <v>154</v>
      </c>
      <c r="C130" s="10" t="s">
        <v>77</v>
      </c>
      <c r="D130" s="12">
        <v>45651</v>
      </c>
      <c r="E130" s="13">
        <f>COUNTIF(文章清单!C:C,B130)</f>
        <v>0</v>
      </c>
    </row>
    <row r="131" s="9" customFormat="1" spans="1:5">
      <c r="A131" s="10">
        <v>130</v>
      </c>
      <c r="B131" s="11" t="s">
        <v>155</v>
      </c>
      <c r="C131" s="10" t="s">
        <v>148</v>
      </c>
      <c r="D131" s="12">
        <v>45651</v>
      </c>
      <c r="E131" s="13">
        <f>COUNTIF(文章清单!C:C,B131)</f>
        <v>0</v>
      </c>
    </row>
    <row r="132" s="9" customFormat="1" spans="1:5">
      <c r="A132" s="10">
        <v>131</v>
      </c>
      <c r="B132" s="11" t="s">
        <v>156</v>
      </c>
      <c r="C132" s="10" t="s">
        <v>148</v>
      </c>
      <c r="D132" s="12">
        <v>45651</v>
      </c>
      <c r="E132" s="13">
        <f>COUNTIF(文章清单!C:C,B132)</f>
        <v>0</v>
      </c>
    </row>
    <row r="133" s="9" customFormat="1" spans="1:5">
      <c r="A133" s="10">
        <v>132</v>
      </c>
      <c r="B133" s="11" t="s">
        <v>157</v>
      </c>
      <c r="C133" s="10" t="s">
        <v>148</v>
      </c>
      <c r="D133" s="12">
        <v>45651</v>
      </c>
      <c r="E133" s="13">
        <f>COUNTIF(文章清单!C:C,B133)</f>
        <v>0</v>
      </c>
    </row>
    <row r="134" s="9" customFormat="1" spans="1:5">
      <c r="A134" s="10">
        <v>133</v>
      </c>
      <c r="B134" s="11" t="s">
        <v>158</v>
      </c>
      <c r="C134" s="10" t="s">
        <v>148</v>
      </c>
      <c r="D134" s="12">
        <v>45651</v>
      </c>
      <c r="E134" s="13">
        <f>COUNTIF(文章清单!C:C,B134)</f>
        <v>0</v>
      </c>
    </row>
    <row r="135" s="9" customFormat="1" spans="1:5">
      <c r="A135" s="10">
        <v>134</v>
      </c>
      <c r="B135" s="11" t="s">
        <v>159</v>
      </c>
      <c r="C135" s="10" t="s">
        <v>22</v>
      </c>
      <c r="D135" s="12">
        <v>45651</v>
      </c>
      <c r="E135" s="13">
        <f>COUNTIF(文章清单!C:C,B135)</f>
        <v>0</v>
      </c>
    </row>
    <row r="136" s="9" customFormat="1" spans="1:5">
      <c r="A136" s="10">
        <v>135</v>
      </c>
      <c r="B136" s="11" t="s">
        <v>160</v>
      </c>
      <c r="C136" s="10" t="s">
        <v>148</v>
      </c>
      <c r="D136" s="12">
        <v>45651</v>
      </c>
      <c r="E136" s="13">
        <f>COUNTIF(文章清单!C:C,B136)</f>
        <v>0</v>
      </c>
    </row>
    <row r="137" s="9" customFormat="1" spans="1:5">
      <c r="A137" s="10">
        <v>136</v>
      </c>
      <c r="B137" s="11" t="s">
        <v>161</v>
      </c>
      <c r="C137" s="10" t="s">
        <v>148</v>
      </c>
      <c r="D137" s="12">
        <v>45651</v>
      </c>
      <c r="E137" s="13">
        <f>COUNTIF(文章清单!C:C,B137)</f>
        <v>0</v>
      </c>
    </row>
    <row r="138" s="9" customFormat="1" spans="1:5">
      <c r="A138" s="10">
        <v>137</v>
      </c>
      <c r="B138" s="11" t="s">
        <v>162</v>
      </c>
      <c r="C138" s="10" t="s">
        <v>148</v>
      </c>
      <c r="D138" s="12">
        <v>45651</v>
      </c>
      <c r="E138" s="13">
        <f>COUNTIF(文章清单!C:C,B138)</f>
        <v>0</v>
      </c>
    </row>
    <row r="139" s="9" customFormat="1" spans="1:5">
      <c r="A139" s="10">
        <v>138</v>
      </c>
      <c r="B139" s="11" t="s">
        <v>163</v>
      </c>
      <c r="C139" s="10" t="s">
        <v>148</v>
      </c>
      <c r="D139" s="12">
        <v>45651</v>
      </c>
      <c r="E139" s="13">
        <f>COUNTIF(文章清单!C:C,B139)</f>
        <v>0</v>
      </c>
    </row>
    <row r="140" s="9" customFormat="1" spans="1:5">
      <c r="A140" s="10">
        <v>139</v>
      </c>
      <c r="B140" s="11" t="s">
        <v>164</v>
      </c>
      <c r="C140" s="10" t="s">
        <v>148</v>
      </c>
      <c r="D140" s="12">
        <v>45651</v>
      </c>
      <c r="E140" s="13">
        <f>COUNTIF(文章清单!C:C,B140)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F7" sqref="F7"/>
    </sheetView>
  </sheetViews>
  <sheetFormatPr defaultColWidth="9" defaultRowHeight="14.25" outlineLevelCol="2"/>
  <cols>
    <col min="1" max="1" customWidth="true" style="2" width="14.0" collapsed="false"/>
    <col min="2" max="2" customWidth="true" style="3" width="14.0" collapsed="false"/>
    <col min="3" max="3" customWidth="true" style="1" width="22.775" collapsed="false"/>
    <col min="4" max="16384" style="2" width="8.88333333333333" collapsed="false"/>
  </cols>
  <sheetData>
    <row r="1" s="1" customFormat="1" spans="1:3">
      <c r="A1" s="4" t="s">
        <v>165</v>
      </c>
      <c r="B1" s="5" t="s">
        <v>16</v>
      </c>
      <c r="C1" s="4" t="s">
        <v>17</v>
      </c>
    </row>
    <row r="2" s="2" customFormat="1" spans="1:3">
      <c r="A2" s="6" t="s">
        <v>166</v>
      </c>
      <c r="B2" s="7">
        <v>45646</v>
      </c>
      <c r="C2" s="8">
        <f>COUNTIF(文章清单!B:B,"*"&amp;A2&amp;"*")</f>
        <v>0</v>
      </c>
    </row>
    <row r="3" s="2" customFormat="1" spans="1:3">
      <c r="A3" s="6" t="s">
        <v>167</v>
      </c>
      <c r="B3" s="7">
        <v>45646</v>
      </c>
      <c r="C3" s="8">
        <f>COUNTIF(文章清单!B:B,"*"&amp;A3&amp;"*")</f>
        <v>0</v>
      </c>
    </row>
    <row r="4" s="2" customFormat="1" spans="1:3">
      <c r="A4" s="6" t="s">
        <v>168</v>
      </c>
      <c r="B4" s="7">
        <v>45646</v>
      </c>
      <c r="C4" s="8">
        <f>COUNTIF(文章清单!B:B,"*"&amp;A4&amp;"*")</f>
        <v>0</v>
      </c>
    </row>
    <row r="5" s="2" customFormat="1" spans="1:3">
      <c r="A5" s="6" t="s">
        <v>169</v>
      </c>
      <c r="B5" s="7">
        <v>45646</v>
      </c>
      <c r="C5" s="8">
        <f>COUNTIF(文章清单!B:B,"*"&amp;A5&amp;"*")</f>
        <v>0</v>
      </c>
    </row>
    <row r="6" s="2" customFormat="1" spans="1:3">
      <c r="A6" s="6" t="s">
        <v>170</v>
      </c>
      <c r="B6" s="7">
        <v>45646</v>
      </c>
      <c r="C6" s="8">
        <f>COUNTIF(文章清单!B:B,"*"&amp;A6&amp;"*")</f>
        <v>0</v>
      </c>
    </row>
    <row r="7" s="2" customFormat="1" spans="1:3">
      <c r="A7" s="6" t="s">
        <v>171</v>
      </c>
      <c r="B7" s="7">
        <v>45646</v>
      </c>
      <c r="C7" s="8">
        <f>COUNTIF(文章清单!B:B,"*"&amp;A7&amp;"*")</f>
        <v>0</v>
      </c>
    </row>
    <row r="8" s="2" customFormat="1" spans="1:3">
      <c r="A8" s="6" t="s">
        <v>172</v>
      </c>
      <c r="B8" s="7">
        <v>45663</v>
      </c>
      <c r="C8" s="8">
        <f>COUNTIF(文章清单!B:B,"*"&amp;A8&amp;"*")</f>
        <v>0</v>
      </c>
    </row>
    <row r="9" s="2" customFormat="1" spans="1:3">
      <c r="A9" s="6" t="s">
        <v>173</v>
      </c>
      <c r="B9" s="7">
        <v>45663</v>
      </c>
      <c r="C9" s="8">
        <f>COUNTIF(文章清单!B:B,"*"&amp;A9&amp;"*")</f>
        <v>0</v>
      </c>
    </row>
    <row r="10" s="2" customFormat="1" spans="1:3">
      <c r="A10" s="6" t="s">
        <v>174</v>
      </c>
      <c r="B10" s="7">
        <v>45665</v>
      </c>
      <c r="C10" s="8">
        <f>COUNTIF(文章清单!B:B,"*"&amp;A10&amp;"*")</f>
        <v>0</v>
      </c>
    </row>
    <row r="11" s="2" customFormat="1" spans="1:3">
      <c r="A11" s="6" t="s">
        <v>175</v>
      </c>
      <c r="B11" s="7">
        <v>45665</v>
      </c>
      <c r="C11" s="8">
        <f>COUNTIF(文章清单!B:B,"*"&amp;A11&amp;"*")</f>
        <v>0</v>
      </c>
    </row>
    <row r="12" s="2" customFormat="1" spans="1:3">
      <c r="A12" s="6" t="s">
        <v>176</v>
      </c>
      <c r="B12" s="7">
        <v>45646</v>
      </c>
      <c r="C12" s="8">
        <f>COUNTIF(文章清单!B:B,"*"&amp;A12&amp;"*")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文章清单</vt:lpstr>
      <vt:lpstr>公众号清单</vt:lpstr>
      <vt:lpstr>类别清单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dc:creator>Tina Lu</dc:creator>
  <cp:lastModifiedBy>Bruce  福哥</cp:lastModifiedBy>
  <dcterms:modified xsi:type="dcterms:W3CDTF">2026-03-11T09:22:48Z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c7f58a-8404-4877-b736-bea143f77ded_Enabled">
    <vt:lpwstr>true</vt:lpwstr>
  </property>
  <property fmtid="{D5CDD505-2E9C-101B-9397-08002B2CF9AE}" pid="3" name="MSIP_Label_6ec7f58a-8404-4877-b736-bea143f77ded_SetDate">
    <vt:lpwstr>2024-04-24T01:48:20Z</vt:lpwstr>
  </property>
  <property fmtid="{D5CDD505-2E9C-101B-9397-08002B2CF9AE}" pid="4" name="MSIP_Label_6ec7f58a-8404-4877-b736-bea143f77ded_Method">
    <vt:lpwstr>Standard</vt:lpwstr>
  </property>
  <property fmtid="{D5CDD505-2E9C-101B-9397-08002B2CF9AE}" pid="5" name="MSIP_Label_6ec7f58a-8404-4877-b736-bea143f77ded_Name">
    <vt:lpwstr>General</vt:lpwstr>
  </property>
  <property fmtid="{D5CDD505-2E9C-101B-9397-08002B2CF9AE}" pid="6" name="MSIP_Label_6ec7f58a-8404-4877-b736-bea143f77ded_SiteId">
    <vt:lpwstr>84d9a216-e285-4aac-b163-0dfd0c074546</vt:lpwstr>
  </property>
  <property fmtid="{D5CDD505-2E9C-101B-9397-08002B2CF9AE}" pid="7" name="MSIP_Label_6ec7f58a-8404-4877-b736-bea143f77ded_ActionId">
    <vt:lpwstr>78b41b79-756a-41dd-a1a8-8ed6840458d8</vt:lpwstr>
  </property>
  <property fmtid="{D5CDD505-2E9C-101B-9397-08002B2CF9AE}" pid="8" name="MSIP_Label_6ec7f58a-8404-4877-b736-bea143f77ded_ContentBits">
    <vt:lpwstr>0</vt:lpwstr>
  </property>
  <property fmtid="{D5CDD505-2E9C-101B-9397-08002B2CF9AE}" pid="9" name="ICV">
    <vt:lpwstr>564C19FE771B44F3964D4FF6D175DECD_13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